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rdanhill/Desktop/Bid-proposal-Test/4-tab-inputs-page/"/>
    </mc:Choice>
  </mc:AlternateContent>
  <xr:revisionPtr revIDLastSave="0" documentId="13_ncr:1_{2D29772F-967D-8A40-B461-9EBFD9F66E5F}" xr6:coauthVersionLast="47" xr6:coauthVersionMax="47" xr10:uidLastSave="{00000000-0000-0000-0000-000000000000}"/>
  <bookViews>
    <workbookView xWindow="-26720" yWindow="600" windowWidth="25320" windowHeight="16180" xr2:uid="{FC7332FE-B930-F343-BE19-EB835B93D39A}"/>
  </bookViews>
  <sheets>
    <sheet name="1 Bldg (4)" sheetId="5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5" l="1"/>
  <c r="C7" i="5"/>
  <c r="D7" i="5" s="1"/>
  <c r="C80" i="5"/>
</calcChain>
</file>

<file path=xl/sharedStrings.xml><?xml version="1.0" encoding="utf-8"?>
<sst xmlns="http://schemas.openxmlformats.org/spreadsheetml/2006/main" count="77" uniqueCount="71">
  <si>
    <t>Garage Wall SF</t>
  </si>
  <si>
    <t>7 lvls</t>
  </si>
  <si>
    <t>Stair 2</t>
  </si>
  <si>
    <t>Stair 1</t>
  </si>
  <si>
    <t>Garage Notes</t>
  </si>
  <si>
    <t>Garage</t>
  </si>
  <si>
    <t>Total SF</t>
  </si>
  <si>
    <t>Amenity Notes</t>
  </si>
  <si>
    <t xml:space="preserve">Amenity </t>
  </si>
  <si>
    <t xml:space="preserve"> </t>
  </si>
  <si>
    <t>6 lvls</t>
  </si>
  <si>
    <t>Detail Sheet</t>
  </si>
  <si>
    <t>Section Sheet</t>
  </si>
  <si>
    <t>Stair Notes</t>
  </si>
  <si>
    <t>Stairs</t>
  </si>
  <si>
    <t>Door Schedule</t>
  </si>
  <si>
    <t>Balc</t>
  </si>
  <si>
    <t>W/D</t>
  </si>
  <si>
    <t>Wardrobes</t>
  </si>
  <si>
    <t>Unit Doors</t>
  </si>
  <si>
    <t>Sheet</t>
  </si>
  <si>
    <t>Unit Notes</t>
  </si>
  <si>
    <t>Units</t>
  </si>
  <si>
    <t>Exterior Notes</t>
  </si>
  <si>
    <t>Exterior</t>
  </si>
  <si>
    <t>Corridor Notes</t>
  </si>
  <si>
    <t>Corridors</t>
  </si>
  <si>
    <t>Finish Schedule</t>
  </si>
  <si>
    <t>General</t>
  </si>
  <si>
    <t>Garage Door Count</t>
  </si>
  <si>
    <t>Garage Column Count</t>
  </si>
  <si>
    <t>Garage Storage SF</t>
  </si>
  <si>
    <t>Garage Storage Count</t>
  </si>
  <si>
    <t>Window/Door Trim Count</t>
  </si>
  <si>
    <t>Lobby</t>
  </si>
  <si>
    <t>Balc. Rail Count</t>
  </si>
  <si>
    <t>Balc. Rail LF</t>
  </si>
  <si>
    <t>Ext. Door Count</t>
  </si>
  <si>
    <t>Parapet LF</t>
  </si>
  <si>
    <t>Cor. Door Count</t>
  </si>
  <si>
    <t>Cor. Lid SF</t>
  </si>
  <si>
    <t>Cor. Wall SF</t>
  </si>
  <si>
    <t>Total</t>
  </si>
  <si>
    <t>3 Bed Room Count</t>
  </si>
  <si>
    <t>2 Bedroom Count</t>
  </si>
  <si>
    <t>1 Bed Room Count</t>
  </si>
  <si>
    <t>Studio Unit Count</t>
  </si>
  <si>
    <t>Ave SF</t>
  </si>
  <si>
    <t>Count</t>
  </si>
  <si>
    <t>Conc. Parapet LF</t>
  </si>
  <si>
    <t>Garage Bike Rack Count</t>
  </si>
  <si>
    <t>Chain Link Fence LF</t>
  </si>
  <si>
    <t xml:space="preserve">Garage Trash Room SF </t>
  </si>
  <si>
    <t xml:space="preserve">Garage Trash Room Count </t>
  </si>
  <si>
    <t>Garage Lid</t>
  </si>
  <si>
    <t>Rec Room</t>
  </si>
  <si>
    <t>A401</t>
  </si>
  <si>
    <t>Window</t>
  </si>
  <si>
    <t>A600</t>
  </si>
  <si>
    <t>Balc. doors - Swing doors; no door finish/material indicated.</t>
  </si>
  <si>
    <t>Metal Louvers 1/ A732</t>
  </si>
  <si>
    <t>Balc Wall Count</t>
  </si>
  <si>
    <t>27 LF</t>
  </si>
  <si>
    <t>Balc Wall</t>
  </si>
  <si>
    <t>Accented stucco @ Balc. Count</t>
  </si>
  <si>
    <t>Window Wood Verticals Count</t>
  </si>
  <si>
    <t>Stucco SF</t>
  </si>
  <si>
    <t>Storage</t>
  </si>
  <si>
    <t>A600 - No finish description for doors</t>
  </si>
  <si>
    <t>A111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</si>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</sst>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1" fillId="0" borderId="0" xfId="1"/>
    <xf numFmtId="0" fontId="2" fillId="0" borderId="0" xfId="1" applyFont="1"/>
    <xf numFmtId="0" fontId="1" fillId="0" borderId="1" xfId="1" applyBorder="1"/>
    <xf numFmtId="0" fontId="1" fillId="0" borderId="2" xfId="1" applyBorder="1"/>
    <xf numFmtId="0" fontId="2" fillId="0" borderId="0" xfId="1" applyFont="1" applyAlignment="1">
      <alignment horizontal="center"/>
    </xf>
    <xf numFmtId="0" fontId="2" fillId="0" borderId="0" xfId="1" applyFont="1" applyAlignment="1">
      <alignment vertical="center"/>
    </xf>
    <xf numFmtId="0" fontId="1" fillId="0" borderId="0" xfId="1" applyAlignment="1">
      <alignment horizontal="left"/>
    </xf>
    <xf numFmtId="0" fontId="1" fillId="0" borderId="0" xfId="1" applyAlignment="1">
      <alignment horizontal="center"/>
    </xf>
    <xf numFmtId="4" fontId="1" fillId="0" borderId="1" xfId="1" applyNumberFormat="1" applyBorder="1"/>
    <xf numFmtId="0" fontId="3" fillId="0" borderId="1" xfId="1" applyFont="1" applyBorder="1" applyAlignment="1">
      <alignment horizontal="left"/>
    </xf>
    <xf numFmtId="0" fontId="4" fillId="0" borderId="1" xfId="1" applyFont="1" applyBorder="1" applyAlignment="1">
      <alignment horizontal="left"/>
    </xf>
    <xf numFmtId="0" fontId="5" fillId="0" borderId="0" xfId="1" applyFont="1" applyAlignment="1">
      <alignment horizontal="left"/>
    </xf>
    <xf numFmtId="0" fontId="4" fillId="0" borderId="4" xfId="1" applyFont="1" applyBorder="1" applyAlignment="1">
      <alignment horizontal="left"/>
    </xf>
    <xf numFmtId="0" fontId="3" fillId="0" borderId="3" xfId="1" applyFont="1" applyBorder="1" applyAlignment="1">
      <alignment horizontal="left"/>
    </xf>
    <xf numFmtId="1" fontId="1" fillId="0" borderId="0" xfId="1" applyNumberFormat="1"/>
    <xf numFmtId="43" fontId="1" fillId="0" borderId="1" xfId="1" applyNumberFormat="1" applyBorder="1"/>
  </cellXfs>
  <cellStyles count="3">
    <cellStyle name="Comma 2" xfId="2" xr:uid="{82696E6B-9E69-4647-80F1-DF3D99AB6819}"/>
    <cellStyle name="Normal" xfId="0" builtinId="0"/>
    <cellStyle name="Normal 2" xfId="1" xr:uid="{3B261EFC-8767-4E4F-A1CE-BE13D9F253D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netorg4750985.sharepoint.com/sites/WendtSQLPlans/Shared%20Documents/General/Kondor/1249%20N%20Gower%20%20St/Apartment%20Takeoffs%20-%20N%20Gower%20(Kondor).xlsx" TargetMode="External"/><Relationship Id="rId1" Type="http://schemas.openxmlformats.org/officeDocument/2006/relationships/externalLinkPath" Target="https://netorg4750985.sharepoint.com/sites/WendtSQLPlans/Shared%20Documents/General/Kondor/1249%20N%20Gower%20%20St/Apartment%20Takeoffs%20-%20N%20Gower%20(Kondor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ample"/>
      <sheetName val="1 Bldg"/>
      <sheetName val="Landscape Sample"/>
      <sheetName val="2 Bldgs"/>
      <sheetName val="3 Bldgs"/>
      <sheetName val="Multi Plex"/>
      <sheetName val="Landscape"/>
      <sheetName val="Units"/>
      <sheetName val="Bid Form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0">
          <cell r="H20">
            <v>10118.299999999999</v>
          </cell>
        </row>
      </sheetData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3FE09-82DB-E24A-A22C-BDBB4662F5B2}">
  <dimension ref="A1:G127"/>
  <sheetViews>
    <sheetView tabSelected="1" showWhiteSpace="0" view="pageLayout" zoomScaleNormal="100" workbookViewId="0">
      <selection activeCell="E46" sqref="E46"/>
    </sheetView>
  </sheetViews>
  <sheetFormatPr baseColWidth="10" defaultColWidth="8.83203125" defaultRowHeight="15" x14ac:dyDescent="0.2"/>
  <cols>
    <col min="1" max="1" width="3.6640625" style="2" customWidth="1"/>
    <col min="2" max="2" width="25.33203125" style="1" customWidth="1"/>
    <col min="3" max="3" width="19.83203125" style="1" customWidth="1"/>
    <col min="4" max="4" width="7.6640625" style="1" bestFit="1" customWidth="1"/>
    <col min="5" max="5" width="43.5" style="1" customWidth="1"/>
    <col min="6" max="9" width="4" style="1" customWidth="1"/>
    <col min="10" max="10" width="2" style="1" bestFit="1" customWidth="1"/>
    <col min="11" max="12" width="2.83203125" style="1" bestFit="1" customWidth="1"/>
    <col min="13" max="14" width="4" style="1" bestFit="1" customWidth="1"/>
    <col min="15" max="15" width="2" style="1" bestFit="1" customWidth="1"/>
    <col min="16" max="16" width="2.83203125" style="1" bestFit="1" customWidth="1"/>
    <col min="17" max="17" width="2" style="1" bestFit="1" customWidth="1"/>
    <col min="18" max="18" width="3.83203125" style="1" bestFit="1" customWidth="1"/>
    <col min="19" max="19" width="2.83203125" style="1" bestFit="1" customWidth="1"/>
    <col min="20" max="20" width="4" style="1" bestFit="1" customWidth="1"/>
    <col min="21" max="21" width="2" style="1" bestFit="1" customWidth="1"/>
    <col min="22" max="24" width="2.83203125" style="1" bestFit="1" customWidth="1"/>
    <col min="25" max="25" width="4" style="1" bestFit="1" customWidth="1"/>
    <col min="26" max="26" width="2" style="1" bestFit="1" customWidth="1"/>
    <col min="27" max="27" width="4" style="1" bestFit="1" customWidth="1"/>
    <col min="28" max="28" width="2" style="1" bestFit="1" customWidth="1"/>
    <col min="29" max="16384" width="8.83203125" style="1"/>
  </cols>
  <sheetData>
    <row r="1" spans="1:5" x14ac:dyDescent="0.2">
      <c r="A1" s="6" t="s">
        <v>28</v>
      </c>
      <c r="C1" s="1" t="s">
        <v>48</v>
      </c>
      <c r="D1" s="1" t="s">
        <v>47</v>
      </c>
    </row>
    <row r="2" spans="1:5" x14ac:dyDescent="0.2">
      <c r="A2" s="6"/>
      <c r="B2" s="3" t="s">
        <v>46</v>
      </c>
      <c r="C2" s="3">
        <v>0</v>
      </c>
      <c r="D2" s="3"/>
    </row>
    <row r="3" spans="1:5" x14ac:dyDescent="0.2">
      <c r="A3" s="6"/>
      <c r="B3" s="3" t="s">
        <v>45</v>
      </c>
      <c r="C3" s="3">
        <v>5</v>
      </c>
      <c r="D3" s="3"/>
    </row>
    <row r="4" spans="1:5" x14ac:dyDescent="0.2">
      <c r="A4" s="6"/>
      <c r="B4" s="3" t="s">
        <v>44</v>
      </c>
      <c r="C4" s="3">
        <v>9</v>
      </c>
      <c r="D4" s="3"/>
    </row>
    <row r="5" spans="1:5" x14ac:dyDescent="0.2">
      <c r="A5" s="6"/>
      <c r="B5" s="3" t="s">
        <v>43</v>
      </c>
      <c r="C5" s="3">
        <v>0</v>
      </c>
      <c r="D5" s="3"/>
    </row>
    <row r="6" spans="1:5" x14ac:dyDescent="0.2">
      <c r="A6" s="6"/>
      <c r="B6" s="3" t="s">
        <v>42</v>
      </c>
      <c r="C6" s="3">
        <f>SUM(C2:C5)</f>
        <v>14</v>
      </c>
      <c r="D6" s="3"/>
    </row>
    <row r="7" spans="1:5" x14ac:dyDescent="0.2">
      <c r="A7" s="6"/>
      <c r="B7" s="3" t="s">
        <v>6</v>
      </c>
      <c r="C7" s="16">
        <f>[1]Units!H20</f>
        <v>10118.299999999999</v>
      </c>
      <c r="D7" s="3">
        <f>C7/C6</f>
        <v>722.73571428571427</v>
      </c>
    </row>
    <row r="8" spans="1:5" x14ac:dyDescent="0.2">
      <c r="A8" s="6"/>
      <c r="B8" s="3" t="s">
        <v>27</v>
      </c>
      <c r="C8" s="3" t="s">
        <v>70</v>
      </c>
    </row>
    <row r="9" spans="1:5" x14ac:dyDescent="0.2">
      <c r="A9" s="6"/>
      <c r="C9" s="15"/>
    </row>
    <row r="10" spans="1:5" x14ac:dyDescent="0.2">
      <c r="A10" s="6"/>
    </row>
    <row r="11" spans="1:5" x14ac:dyDescent="0.2">
      <c r="A11" s="6" t="s">
        <v>26</v>
      </c>
      <c r="E11" s="5" t="s">
        <v>25</v>
      </c>
    </row>
    <row r="12" spans="1:5" x14ac:dyDescent="0.2">
      <c r="A12" s="6"/>
      <c r="B12" s="3" t="s">
        <v>20</v>
      </c>
      <c r="C12" s="3" t="s">
        <v>69</v>
      </c>
      <c r="E12" s="11" t="s">
        <v>68</v>
      </c>
    </row>
    <row r="13" spans="1:5" x14ac:dyDescent="0.2">
      <c r="A13" s="6"/>
      <c r="B13" s="3" t="s">
        <v>41</v>
      </c>
      <c r="C13" s="9">
        <v>7229.91</v>
      </c>
      <c r="E13" s="11"/>
    </row>
    <row r="14" spans="1:5" x14ac:dyDescent="0.2">
      <c r="A14" s="6"/>
      <c r="B14" s="3" t="s">
        <v>40</v>
      </c>
      <c r="C14" s="9">
        <v>1497.14</v>
      </c>
      <c r="E14" s="11"/>
    </row>
    <row r="15" spans="1:5" x14ac:dyDescent="0.2">
      <c r="A15" s="6"/>
      <c r="B15" s="3" t="s">
        <v>39</v>
      </c>
      <c r="C15" s="9">
        <v>10</v>
      </c>
      <c r="E15" s="11"/>
    </row>
    <row r="16" spans="1:5" x14ac:dyDescent="0.2">
      <c r="A16" s="6"/>
      <c r="B16" s="3" t="s">
        <v>67</v>
      </c>
      <c r="C16" s="3">
        <v>1</v>
      </c>
      <c r="E16" s="11"/>
    </row>
    <row r="17" spans="1:5" ht="16" thickBot="1" x14ac:dyDescent="0.25">
      <c r="A17" s="6"/>
      <c r="B17" s="3"/>
      <c r="C17" s="3"/>
      <c r="E17" s="13"/>
    </row>
    <row r="18" spans="1:5" x14ac:dyDescent="0.2">
      <c r="A18" s="6"/>
      <c r="B18" s="3"/>
      <c r="C18" s="3"/>
      <c r="E18" s="14"/>
    </row>
    <row r="19" spans="1:5" x14ac:dyDescent="0.2">
      <c r="A19" s="6"/>
      <c r="B19" s="3"/>
      <c r="C19" s="3"/>
      <c r="E19" s="10"/>
    </row>
    <row r="20" spans="1:5" x14ac:dyDescent="0.2">
      <c r="A20" s="6"/>
      <c r="B20" s="3"/>
      <c r="C20" s="3"/>
      <c r="E20" s="10"/>
    </row>
    <row r="21" spans="1:5" x14ac:dyDescent="0.2">
      <c r="A21" s="6"/>
      <c r="B21" s="3"/>
      <c r="C21" s="3"/>
      <c r="E21" s="10"/>
    </row>
    <row r="22" spans="1:5" x14ac:dyDescent="0.2">
      <c r="A22" s="6"/>
      <c r="B22" s="3"/>
      <c r="C22" s="3"/>
      <c r="E22" s="10"/>
    </row>
    <row r="23" spans="1:5" x14ac:dyDescent="0.2">
      <c r="A23" s="6"/>
      <c r="B23" s="3"/>
      <c r="C23" s="3"/>
      <c r="E23" s="10"/>
    </row>
    <row r="24" spans="1:5" x14ac:dyDescent="0.2">
      <c r="A24" s="6"/>
      <c r="B24" s="3"/>
      <c r="C24" s="3"/>
      <c r="E24" s="10"/>
    </row>
    <row r="25" spans="1:5" x14ac:dyDescent="0.2">
      <c r="A25" s="6"/>
      <c r="B25" s="3"/>
      <c r="C25" s="3"/>
      <c r="E25" s="10"/>
    </row>
    <row r="26" spans="1:5" x14ac:dyDescent="0.2">
      <c r="A26" s="6"/>
      <c r="B26" s="3"/>
      <c r="C26" s="3"/>
      <c r="E26" s="10"/>
    </row>
    <row r="27" spans="1:5" x14ac:dyDescent="0.2">
      <c r="A27" s="6"/>
    </row>
    <row r="28" spans="1:5" x14ac:dyDescent="0.2">
      <c r="A28" s="6" t="s">
        <v>24</v>
      </c>
      <c r="E28" s="5" t="s">
        <v>23</v>
      </c>
    </row>
    <row r="29" spans="1:5" x14ac:dyDescent="0.2">
      <c r="A29" s="6"/>
      <c r="B29" s="4" t="s">
        <v>20</v>
      </c>
      <c r="C29" s="3"/>
      <c r="E29" s="11"/>
    </row>
    <row r="30" spans="1:5" x14ac:dyDescent="0.2">
      <c r="A30" s="6"/>
      <c r="B30" s="3" t="s">
        <v>37</v>
      </c>
      <c r="C30" s="9">
        <v>6</v>
      </c>
      <c r="E30" s="11"/>
    </row>
    <row r="31" spans="1:5" x14ac:dyDescent="0.2">
      <c r="A31" s="6"/>
      <c r="B31" s="3" t="s">
        <v>38</v>
      </c>
      <c r="C31" s="9">
        <v>328.99</v>
      </c>
      <c r="E31" s="11"/>
    </row>
    <row r="32" spans="1:5" x14ac:dyDescent="0.2">
      <c r="A32" s="6"/>
      <c r="B32" s="3" t="s">
        <v>66</v>
      </c>
      <c r="C32" s="9">
        <v>15544.8</v>
      </c>
      <c r="E32" s="11"/>
    </row>
    <row r="33" spans="1:5" x14ac:dyDescent="0.2">
      <c r="A33" s="6"/>
      <c r="B33" s="3" t="s">
        <v>33</v>
      </c>
      <c r="C33" s="9">
        <v>80</v>
      </c>
      <c r="E33" s="11"/>
    </row>
    <row r="34" spans="1:5" x14ac:dyDescent="0.2">
      <c r="A34" s="6"/>
      <c r="B34" s="3" t="s">
        <v>65</v>
      </c>
      <c r="C34" s="9">
        <v>7</v>
      </c>
      <c r="E34" s="11"/>
    </row>
    <row r="35" spans="1:5" x14ac:dyDescent="0.2">
      <c r="B35" s="3" t="s">
        <v>36</v>
      </c>
      <c r="C35" s="9">
        <v>86.15</v>
      </c>
      <c r="E35" s="11"/>
    </row>
    <row r="36" spans="1:5" ht="16" thickBot="1" x14ac:dyDescent="0.25">
      <c r="B36" s="3" t="s">
        <v>35</v>
      </c>
      <c r="C36" s="9">
        <v>6</v>
      </c>
      <c r="E36" s="13"/>
    </row>
    <row r="37" spans="1:5" x14ac:dyDescent="0.2">
      <c r="B37" s="3" t="s">
        <v>64</v>
      </c>
      <c r="C37" s="9">
        <v>8</v>
      </c>
      <c r="E37" s="10"/>
    </row>
    <row r="38" spans="1:5" x14ac:dyDescent="0.2">
      <c r="B38" s="4" t="s">
        <v>63</v>
      </c>
      <c r="C38" s="3" t="s">
        <v>62</v>
      </c>
      <c r="E38" s="10"/>
    </row>
    <row r="39" spans="1:5" x14ac:dyDescent="0.2">
      <c r="B39" s="4" t="s">
        <v>61</v>
      </c>
      <c r="C39" s="3">
        <v>4</v>
      </c>
      <c r="E39" s="10"/>
    </row>
    <row r="40" spans="1:5" x14ac:dyDescent="0.2">
      <c r="B40" s="4"/>
      <c r="C40" s="3"/>
      <c r="E40" s="10"/>
    </row>
    <row r="41" spans="1:5" x14ac:dyDescent="0.2">
      <c r="B41" s="4"/>
      <c r="C41" s="3"/>
      <c r="E41" s="10"/>
    </row>
    <row r="42" spans="1:5" x14ac:dyDescent="0.2">
      <c r="B42" s="4"/>
      <c r="C42" s="3"/>
      <c r="E42" s="10"/>
    </row>
    <row r="43" spans="1:5" x14ac:dyDescent="0.2">
      <c r="B43" s="4"/>
      <c r="C43" s="3"/>
      <c r="E43" s="10"/>
    </row>
    <row r="44" spans="1:5" x14ac:dyDescent="0.2">
      <c r="B44" s="4"/>
      <c r="C44" s="3"/>
      <c r="E44" s="10"/>
    </row>
    <row r="45" spans="1:5" x14ac:dyDescent="0.2">
      <c r="B45" s="4"/>
      <c r="C45" s="3"/>
      <c r="E45" s="10"/>
    </row>
    <row r="46" spans="1:5" x14ac:dyDescent="0.2">
      <c r="B46" s="4"/>
      <c r="C46" s="3"/>
      <c r="E46" s="10"/>
    </row>
    <row r="47" spans="1:5" x14ac:dyDescent="0.2">
      <c r="B47" s="4"/>
      <c r="C47" s="3"/>
      <c r="E47" s="10"/>
    </row>
    <row r="48" spans="1:5" x14ac:dyDescent="0.2">
      <c r="B48" s="4"/>
      <c r="C48" s="3"/>
      <c r="E48" s="10"/>
    </row>
    <row r="49" spans="1:5" x14ac:dyDescent="0.2">
      <c r="B49" s="4"/>
      <c r="C49" s="3"/>
      <c r="E49" s="10" t="s">
        <v>60</v>
      </c>
    </row>
    <row r="50" spans="1:5" x14ac:dyDescent="0.2">
      <c r="A50" s="6" t="s">
        <v>22</v>
      </c>
      <c r="C50" s="8"/>
      <c r="E50" s="5" t="s">
        <v>21</v>
      </c>
    </row>
    <row r="51" spans="1:5" x14ac:dyDescent="0.2">
      <c r="A51" s="6"/>
      <c r="B51" s="3" t="s">
        <v>20</v>
      </c>
      <c r="C51" s="3" t="s">
        <v>58</v>
      </c>
      <c r="E51" s="11" t="s">
        <v>59</v>
      </c>
    </row>
    <row r="52" spans="1:5" x14ac:dyDescent="0.2">
      <c r="A52" s="6"/>
      <c r="B52" s="3" t="s">
        <v>15</v>
      </c>
      <c r="C52" s="3" t="s">
        <v>58</v>
      </c>
      <c r="E52" s="11"/>
    </row>
    <row r="53" spans="1:5" x14ac:dyDescent="0.2">
      <c r="A53" s="6"/>
      <c r="B53" s="3" t="s">
        <v>19</v>
      </c>
      <c r="C53" s="3">
        <v>60</v>
      </c>
      <c r="E53" s="11"/>
    </row>
    <row r="54" spans="1:5" x14ac:dyDescent="0.2">
      <c r="A54" s="6"/>
      <c r="B54" s="3" t="s">
        <v>18</v>
      </c>
      <c r="C54" s="3">
        <v>23</v>
      </c>
      <c r="E54" s="11"/>
    </row>
    <row r="55" spans="1:5" ht="16" thickBot="1" x14ac:dyDescent="0.25">
      <c r="A55" s="6"/>
      <c r="B55" s="3" t="s">
        <v>17</v>
      </c>
      <c r="C55" s="3">
        <v>14</v>
      </c>
      <c r="E55" s="13"/>
    </row>
    <row r="56" spans="1:5" x14ac:dyDescent="0.2">
      <c r="A56" s="6"/>
      <c r="B56" s="3" t="s">
        <v>16</v>
      </c>
      <c r="C56" s="3">
        <v>4</v>
      </c>
      <c r="E56" s="10"/>
    </row>
    <row r="57" spans="1:5" x14ac:dyDescent="0.2">
      <c r="A57" s="6"/>
      <c r="B57" s="3" t="s">
        <v>57</v>
      </c>
      <c r="C57" s="3">
        <v>38</v>
      </c>
      <c r="E57" s="10"/>
    </row>
    <row r="58" spans="1:5" x14ac:dyDescent="0.2">
      <c r="A58" s="6"/>
      <c r="B58" s="3"/>
      <c r="C58" s="3"/>
      <c r="E58" s="10"/>
    </row>
    <row r="59" spans="1:5" x14ac:dyDescent="0.2">
      <c r="A59" s="6"/>
      <c r="B59" s="3"/>
      <c r="C59" s="3"/>
      <c r="E59" s="10"/>
    </row>
    <row r="60" spans="1:5" x14ac:dyDescent="0.2">
      <c r="A60" s="6"/>
      <c r="B60" s="3"/>
      <c r="C60" s="3"/>
      <c r="E60" s="10"/>
    </row>
    <row r="61" spans="1:5" x14ac:dyDescent="0.2">
      <c r="A61" s="6"/>
      <c r="B61" s="3"/>
      <c r="C61" s="3"/>
      <c r="E61" s="10"/>
    </row>
    <row r="62" spans="1:5" x14ac:dyDescent="0.2">
      <c r="A62" s="6"/>
      <c r="B62" s="7"/>
      <c r="C62" s="7"/>
      <c r="D62" s="7"/>
      <c r="E62" s="7"/>
    </row>
    <row r="63" spans="1:5" x14ac:dyDescent="0.2">
      <c r="A63" s="6" t="s">
        <v>14</v>
      </c>
      <c r="E63" s="5" t="s">
        <v>13</v>
      </c>
    </row>
    <row r="64" spans="1:5" x14ac:dyDescent="0.2">
      <c r="A64" s="6"/>
      <c r="B64" s="4" t="s">
        <v>12</v>
      </c>
      <c r="C64" s="3" t="s">
        <v>56</v>
      </c>
      <c r="E64" s="11"/>
    </row>
    <row r="65" spans="1:7" x14ac:dyDescent="0.2">
      <c r="A65" s="6"/>
      <c r="B65" s="4" t="s">
        <v>11</v>
      </c>
      <c r="C65" s="3" t="s">
        <v>56</v>
      </c>
      <c r="E65" s="11"/>
    </row>
    <row r="66" spans="1:7" x14ac:dyDescent="0.2">
      <c r="A66" s="6"/>
      <c r="B66" s="4" t="s">
        <v>3</v>
      </c>
      <c r="C66" s="3" t="s">
        <v>10</v>
      </c>
      <c r="E66" s="11"/>
    </row>
    <row r="67" spans="1:7" x14ac:dyDescent="0.2">
      <c r="A67" s="6"/>
      <c r="B67" s="4" t="s">
        <v>2</v>
      </c>
      <c r="C67" s="3" t="s">
        <v>1</v>
      </c>
      <c r="E67" s="11"/>
    </row>
    <row r="68" spans="1:7" x14ac:dyDescent="0.2">
      <c r="A68" s="6"/>
      <c r="B68" s="4"/>
      <c r="C68" s="3"/>
      <c r="E68" s="11"/>
    </row>
    <row r="69" spans="1:7" x14ac:dyDescent="0.2">
      <c r="A69" s="6"/>
      <c r="B69" s="4"/>
      <c r="C69" s="3"/>
      <c r="E69" s="11"/>
    </row>
    <row r="70" spans="1:7" ht="16" thickBot="1" x14ac:dyDescent="0.25">
      <c r="A70" s="6"/>
      <c r="B70" s="4"/>
      <c r="C70" s="3"/>
      <c r="E70" s="13"/>
    </row>
    <row r="71" spans="1:7" x14ac:dyDescent="0.2">
      <c r="A71" s="6"/>
      <c r="B71" s="4"/>
      <c r="C71" s="3"/>
      <c r="E71" s="10"/>
    </row>
    <row r="72" spans="1:7" x14ac:dyDescent="0.2">
      <c r="A72" s="6"/>
      <c r="B72" s="4"/>
      <c r="C72" s="3"/>
      <c r="E72" s="10"/>
    </row>
    <row r="73" spans="1:7" x14ac:dyDescent="0.2">
      <c r="A73" s="6"/>
      <c r="B73" s="4"/>
      <c r="C73" s="3"/>
      <c r="E73" s="10"/>
    </row>
    <row r="74" spans="1:7" x14ac:dyDescent="0.2">
      <c r="A74" s="6"/>
      <c r="B74" s="4"/>
      <c r="C74" s="3"/>
      <c r="E74" s="10"/>
    </row>
    <row r="75" spans="1:7" x14ac:dyDescent="0.2">
      <c r="A75" s="6"/>
      <c r="B75" s="4"/>
      <c r="C75" s="3" t="s">
        <v>9</v>
      </c>
      <c r="E75" s="10"/>
    </row>
    <row r="76" spans="1:7" x14ac:dyDescent="0.2">
      <c r="A76" s="6"/>
      <c r="B76" s="4"/>
      <c r="C76" s="3"/>
      <c r="E76" s="10"/>
    </row>
    <row r="77" spans="1:7" x14ac:dyDescent="0.2">
      <c r="A77" s="6"/>
      <c r="B77" s="4"/>
      <c r="C77" s="3"/>
      <c r="E77" s="10"/>
    </row>
    <row r="78" spans="1:7" x14ac:dyDescent="0.2">
      <c r="A78" s="6"/>
      <c r="C78" s="7"/>
      <c r="D78" s="7"/>
      <c r="E78" s="7"/>
      <c r="F78" s="7"/>
      <c r="G78" s="7"/>
    </row>
    <row r="79" spans="1:7" x14ac:dyDescent="0.2">
      <c r="A79" s="6" t="s">
        <v>8</v>
      </c>
      <c r="E79" s="5" t="s">
        <v>7</v>
      </c>
    </row>
    <row r="80" spans="1:7" x14ac:dyDescent="0.2">
      <c r="A80" s="6"/>
      <c r="B80" s="4" t="s">
        <v>6</v>
      </c>
      <c r="C80" s="3">
        <f>SUM(C81:C94)</f>
        <v>1217.1199999999999</v>
      </c>
      <c r="E80" s="11"/>
    </row>
    <row r="81" spans="1:5" x14ac:dyDescent="0.2">
      <c r="A81" s="6"/>
      <c r="B81" s="3" t="s">
        <v>55</v>
      </c>
      <c r="C81" s="9">
        <v>1077.1199999999999</v>
      </c>
      <c r="E81" s="11"/>
    </row>
    <row r="82" spans="1:5" x14ac:dyDescent="0.2">
      <c r="A82" s="6"/>
      <c r="B82" s="4" t="s">
        <v>34</v>
      </c>
      <c r="C82" s="3">
        <v>140</v>
      </c>
      <c r="E82" s="11"/>
    </row>
    <row r="83" spans="1:5" x14ac:dyDescent="0.2">
      <c r="A83" s="6"/>
      <c r="B83" s="4"/>
      <c r="C83" s="3"/>
      <c r="E83" s="11"/>
    </row>
    <row r="84" spans="1:5" x14ac:dyDescent="0.2">
      <c r="A84" s="6"/>
      <c r="B84" s="4"/>
      <c r="C84" s="3"/>
      <c r="E84" s="11"/>
    </row>
    <row r="85" spans="1:5" ht="16" thickBot="1" x14ac:dyDescent="0.25">
      <c r="A85" s="6"/>
      <c r="B85" s="4"/>
      <c r="C85" s="3"/>
      <c r="E85" s="13"/>
    </row>
    <row r="86" spans="1:5" x14ac:dyDescent="0.2">
      <c r="A86" s="6"/>
      <c r="B86" s="4"/>
      <c r="C86" s="3"/>
      <c r="E86" s="10"/>
    </row>
    <row r="87" spans="1:5" x14ac:dyDescent="0.2">
      <c r="A87" s="6"/>
      <c r="B87" s="4"/>
      <c r="C87" s="3"/>
      <c r="E87" s="10"/>
    </row>
    <row r="88" spans="1:5" x14ac:dyDescent="0.2">
      <c r="A88" s="6"/>
      <c r="B88" s="4"/>
      <c r="C88" s="3"/>
      <c r="E88" s="10"/>
    </row>
    <row r="89" spans="1:5" x14ac:dyDescent="0.2">
      <c r="A89" s="6"/>
      <c r="B89" s="4"/>
      <c r="C89" s="3"/>
      <c r="E89" s="10"/>
    </row>
    <row r="90" spans="1:5" x14ac:dyDescent="0.2">
      <c r="A90" s="6"/>
      <c r="B90" s="4"/>
      <c r="C90" s="3"/>
      <c r="E90" s="10"/>
    </row>
    <row r="91" spans="1:5" x14ac:dyDescent="0.2">
      <c r="A91" s="6"/>
      <c r="B91" s="4"/>
      <c r="C91" s="3"/>
      <c r="E91" s="10"/>
    </row>
    <row r="92" spans="1:5" x14ac:dyDescent="0.2">
      <c r="A92" s="6"/>
      <c r="B92" s="4"/>
      <c r="C92" s="3"/>
      <c r="E92" s="10"/>
    </row>
    <row r="93" spans="1:5" x14ac:dyDescent="0.2">
      <c r="A93" s="6"/>
      <c r="B93" s="4"/>
      <c r="C93" s="3"/>
      <c r="E93" s="10"/>
    </row>
    <row r="94" spans="1:5" x14ac:dyDescent="0.2">
      <c r="A94" s="6"/>
      <c r="B94" s="3"/>
      <c r="C94" s="3"/>
      <c r="E94" s="10"/>
    </row>
    <row r="95" spans="1:5" x14ac:dyDescent="0.2">
      <c r="A95" s="6"/>
    </row>
    <row r="96" spans="1:5" x14ac:dyDescent="0.2">
      <c r="A96" s="6"/>
    </row>
    <row r="97" spans="1:5" x14ac:dyDescent="0.2">
      <c r="A97" s="6"/>
    </row>
    <row r="98" spans="1:5" x14ac:dyDescent="0.2">
      <c r="A98" s="6"/>
    </row>
    <row r="99" spans="1:5" x14ac:dyDescent="0.2">
      <c r="A99" s="2" t="s">
        <v>5</v>
      </c>
      <c r="E99" s="12" t="s">
        <v>4</v>
      </c>
    </row>
    <row r="100" spans="1:5" x14ac:dyDescent="0.2">
      <c r="B100" s="4" t="s">
        <v>20</v>
      </c>
      <c r="C100" s="3"/>
      <c r="E100" s="11"/>
    </row>
    <row r="101" spans="1:5" x14ac:dyDescent="0.2">
      <c r="B101" s="3" t="s">
        <v>0</v>
      </c>
      <c r="C101" s="9">
        <v>3785.31</v>
      </c>
      <c r="E101" s="11"/>
    </row>
    <row r="102" spans="1:5" x14ac:dyDescent="0.2">
      <c r="B102" s="3" t="s">
        <v>54</v>
      </c>
      <c r="C102" s="9">
        <v>3698.04</v>
      </c>
      <c r="E102" s="11"/>
    </row>
    <row r="103" spans="1:5" x14ac:dyDescent="0.2">
      <c r="B103" s="3" t="s">
        <v>53</v>
      </c>
      <c r="C103" s="9">
        <v>1</v>
      </c>
      <c r="E103" s="11"/>
    </row>
    <row r="104" spans="1:5" x14ac:dyDescent="0.2">
      <c r="B104" s="3" t="s">
        <v>52</v>
      </c>
      <c r="C104" s="9">
        <v>173.99</v>
      </c>
      <c r="E104" s="11"/>
    </row>
    <row r="105" spans="1:5" x14ac:dyDescent="0.2">
      <c r="B105" s="3" t="s">
        <v>51</v>
      </c>
      <c r="C105" s="9">
        <v>11.09</v>
      </c>
      <c r="E105" s="11"/>
    </row>
    <row r="106" spans="1:5" x14ac:dyDescent="0.2">
      <c r="B106" s="3" t="s">
        <v>29</v>
      </c>
      <c r="C106" s="9">
        <v>4</v>
      </c>
      <c r="E106" s="11"/>
    </row>
    <row r="107" spans="1:5" ht="16" thickBot="1" x14ac:dyDescent="0.25">
      <c r="B107" s="3" t="s">
        <v>32</v>
      </c>
      <c r="C107" s="9">
        <v>1</v>
      </c>
      <c r="E107" s="13"/>
    </row>
    <row r="108" spans="1:5" x14ac:dyDescent="0.2">
      <c r="B108" s="3" t="s">
        <v>31</v>
      </c>
      <c r="C108" s="9">
        <v>247.66</v>
      </c>
      <c r="E108" s="10"/>
    </row>
    <row r="109" spans="1:5" x14ac:dyDescent="0.2">
      <c r="B109" s="3" t="s">
        <v>30</v>
      </c>
      <c r="C109" s="9">
        <v>4</v>
      </c>
      <c r="E109" s="10"/>
    </row>
    <row r="110" spans="1:5" x14ac:dyDescent="0.2">
      <c r="B110" s="3" t="s">
        <v>50</v>
      </c>
      <c r="C110" s="9">
        <v>4</v>
      </c>
      <c r="E110" s="10"/>
    </row>
    <row r="111" spans="1:5" x14ac:dyDescent="0.2">
      <c r="B111" s="3" t="s">
        <v>49</v>
      </c>
      <c r="C111" s="9">
        <v>7.4</v>
      </c>
      <c r="E111" s="10"/>
    </row>
    <row r="112" spans="1:5" x14ac:dyDescent="0.2">
      <c r="B112" s="4"/>
      <c r="C112" s="3"/>
      <c r="E112" s="10"/>
    </row>
    <row r="113" spans="2:5" x14ac:dyDescent="0.2">
      <c r="B113" s="4"/>
      <c r="C113" s="3"/>
      <c r="E113" s="10"/>
    </row>
    <row r="114" spans="2:5" x14ac:dyDescent="0.2">
      <c r="B114" s="4"/>
      <c r="C114" s="3"/>
      <c r="E114" s="10"/>
    </row>
    <row r="115" spans="2:5" x14ac:dyDescent="0.2">
      <c r="B115" s="4"/>
      <c r="C115" s="3"/>
      <c r="E115" s="10"/>
    </row>
    <row r="116" spans="2:5" x14ac:dyDescent="0.2">
      <c r="B116" s="4"/>
      <c r="C116" s="3"/>
      <c r="E116" s="10"/>
    </row>
    <row r="117" spans="2:5" x14ac:dyDescent="0.2">
      <c r="B117" s="4"/>
      <c r="C117" s="3"/>
      <c r="E117" s="10"/>
    </row>
    <row r="118" spans="2:5" x14ac:dyDescent="0.2">
      <c r="B118" s="4"/>
      <c r="C118" s="3"/>
      <c r="E118" s="10"/>
    </row>
    <row r="119" spans="2:5" x14ac:dyDescent="0.2">
      <c r="B119" s="3"/>
      <c r="C119" s="3"/>
    </row>
    <row r="120" spans="2:5" x14ac:dyDescent="0.2">
      <c r="B120" s="3"/>
      <c r="C120" s="3"/>
    </row>
    <row r="121" spans="2:5" x14ac:dyDescent="0.2">
      <c r="B121" s="3"/>
      <c r="C121" s="3"/>
    </row>
    <row r="122" spans="2:5" x14ac:dyDescent="0.2">
      <c r="B122" s="3"/>
      <c r="C122" s="3"/>
    </row>
    <row r="123" spans="2:5" x14ac:dyDescent="0.2">
      <c r="B123" s="3"/>
      <c r="C123" s="3"/>
    </row>
    <row r="124" spans="2:5" x14ac:dyDescent="0.2">
      <c r="B124" s="3"/>
      <c r="C124" s="3"/>
    </row>
    <row r="125" spans="2:5" x14ac:dyDescent="0.2">
      <c r="B125" s="3"/>
      <c r="C125" s="3"/>
    </row>
    <row r="126" spans="2:5" x14ac:dyDescent="0.2">
      <c r="B126" s="3"/>
      <c r="C126" s="3"/>
    </row>
    <row r="127" spans="2:5" x14ac:dyDescent="0.2">
      <c r="B127" s="3"/>
      <c r="C127" s="3"/>
    </row>
  </sheetData>
  <pageMargins left="0.30208333333333331" right="0.33333333333333331" top="0.77500000000000002" bottom="0.30208333333333331" header="0.3" footer="0.3"/>
  <pageSetup orientation="portrait" r:id="rId1"/>
  <headerFooter>
    <oddHeader>&amp;LDate:&amp;CBuilder: Kondor Builders
Job Name: N Gower St.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 Bldg (4)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hill</dc:creator>
  <cp:lastModifiedBy>jordan hill</cp:lastModifiedBy>
  <dcterms:created xsi:type="dcterms:W3CDTF">2026-02-03T01:54:32Z</dcterms:created>
  <dcterms:modified xsi:type="dcterms:W3CDTF">2026-02-03T02:07:49Z</dcterms:modified>
</cp:coreProperties>
</file>