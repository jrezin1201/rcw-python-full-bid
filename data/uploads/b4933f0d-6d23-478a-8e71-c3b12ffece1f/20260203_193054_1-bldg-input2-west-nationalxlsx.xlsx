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rdanhill/Desktop/Bid-proposal-Test/4-tab-inputs-page/"/>
    </mc:Choice>
  </mc:AlternateContent>
  <xr:revisionPtr revIDLastSave="0" documentId="13_ncr:1_{B4B813A0-8E32-5D44-B1DC-C5776FD499AA}" xr6:coauthVersionLast="47" xr6:coauthVersionMax="47" xr10:uidLastSave="{00000000-0000-0000-0000-000000000000}"/>
  <bookViews>
    <workbookView xWindow="-26720" yWindow="600" windowWidth="25320" windowHeight="16180" xr2:uid="{FC7332FE-B930-F343-BE19-EB835B93D39A}"/>
  </bookViews>
  <sheets>
    <sheet name="1 Bldg (input2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C81" i="2"/>
</calcChain>
</file>

<file path=xl/sharedStrings.xml><?xml version="1.0" encoding="utf-8"?>
<sst xmlns="http://schemas.openxmlformats.org/spreadsheetml/2006/main" count="154" uniqueCount="144">
  <si>
    <t>Columns</t>
  </si>
  <si>
    <t>Overhead Door</t>
  </si>
  <si>
    <t>Ext Stucco SF</t>
  </si>
  <si>
    <t>Gutters &amp;Downspouts not shown</t>
  </si>
  <si>
    <t>garage Lid SF</t>
  </si>
  <si>
    <t>Galvanized Metal at roof</t>
  </si>
  <si>
    <t>Garage Wall SF</t>
  </si>
  <si>
    <t>Pipe Guards 9/AG9.04</t>
  </si>
  <si>
    <t>Dropped Lid at 1st lvl SF</t>
  </si>
  <si>
    <t>Fence at fisrt Floor Glav. 5/AG9.06</t>
  </si>
  <si>
    <t>Storage Count</t>
  </si>
  <si>
    <t>Intumescent Paints AG9.20</t>
  </si>
  <si>
    <t>Storage With Drywall SF</t>
  </si>
  <si>
    <t>Anti Graffiti AG10.10.00</t>
  </si>
  <si>
    <t>Trash Vest</t>
  </si>
  <si>
    <t>Trash Term Room</t>
  </si>
  <si>
    <t>parapet LF</t>
  </si>
  <si>
    <t>Ext Foam Trim LF</t>
  </si>
  <si>
    <t>Mech Enclosures</t>
  </si>
  <si>
    <t>Vehical gates</t>
  </si>
  <si>
    <t>Gates 9/AG10.21</t>
  </si>
  <si>
    <t>Doors</t>
  </si>
  <si>
    <t>Pipe Bollards 1/AG9.04</t>
  </si>
  <si>
    <t>Garage Roof Canopy AG8.31</t>
  </si>
  <si>
    <t>7 lvls</t>
  </si>
  <si>
    <t>Stair 2</t>
  </si>
  <si>
    <t>Walls Ceilings Columns Paint AG10.60 eggshell</t>
  </si>
  <si>
    <t>7 lvlls</t>
  </si>
  <si>
    <t>Stair 1</t>
  </si>
  <si>
    <t>Garage Notes</t>
  </si>
  <si>
    <t>Garage</t>
  </si>
  <si>
    <t>Mail Room</t>
  </si>
  <si>
    <t>Fitness</t>
  </si>
  <si>
    <t>Residence Services</t>
  </si>
  <si>
    <t>Total SF</t>
  </si>
  <si>
    <t>Amenity Notes</t>
  </si>
  <si>
    <t xml:space="preserve">Amenity </t>
  </si>
  <si>
    <t xml:space="preserve"> </t>
  </si>
  <si>
    <t>Stair 7</t>
  </si>
  <si>
    <t>Stair 6</t>
  </si>
  <si>
    <t>Stair 5</t>
  </si>
  <si>
    <t>Stair 4</t>
  </si>
  <si>
    <t>5 lvls</t>
  </si>
  <si>
    <t>Stair 3</t>
  </si>
  <si>
    <t>6 lvls</t>
  </si>
  <si>
    <t>A9.09</t>
  </si>
  <si>
    <t>Detail Sheet</t>
  </si>
  <si>
    <t>A4.30</t>
  </si>
  <si>
    <t>Section Sheet</t>
  </si>
  <si>
    <t>Stair Notes</t>
  </si>
  <si>
    <t>Stairs</t>
  </si>
  <si>
    <t>MDF 5 Shelf assumed metal</t>
  </si>
  <si>
    <t>A10.10</t>
  </si>
  <si>
    <t>Door Schedule</t>
  </si>
  <si>
    <t>MDF Shelf and pole assumed metal 4/A9.33 A10.60</t>
  </si>
  <si>
    <t>Add Alt FF/PP</t>
  </si>
  <si>
    <t>Balc Door Finish</t>
  </si>
  <si>
    <t>Window Covering Closure 9/A9.11</t>
  </si>
  <si>
    <t>Loft Guard Rail LF 7/A8.40</t>
  </si>
  <si>
    <t>R/A4.33 Treads &amp; Risers</t>
  </si>
  <si>
    <t>Linen Closet at bath 11&amp;15/A9.32</t>
  </si>
  <si>
    <t>Balc</t>
  </si>
  <si>
    <t>Backerrod &amp; Caulking Wall to Lid</t>
  </si>
  <si>
    <t>Barn</t>
  </si>
  <si>
    <t>Stool And Apron called on Fin. Sched. A10.43&amp;10.44 Don’t show</t>
  </si>
  <si>
    <t>W/D</t>
  </si>
  <si>
    <t>Free Standing Island A10.60</t>
  </si>
  <si>
    <t>Coat</t>
  </si>
  <si>
    <t>Wardrobes</t>
  </si>
  <si>
    <t>WIC</t>
  </si>
  <si>
    <t>L/A5.20 Closet Finishes Match Adj Room</t>
  </si>
  <si>
    <t>Unit Doors</t>
  </si>
  <si>
    <t>Stair Details A4.33</t>
  </si>
  <si>
    <t>A4.00</t>
  </si>
  <si>
    <t>Sheet</t>
  </si>
  <si>
    <t>Unit Notes</t>
  </si>
  <si>
    <t>Units</t>
  </si>
  <si>
    <t>Alum Reveal 203</t>
  </si>
  <si>
    <t>Brick Cornice 217</t>
  </si>
  <si>
    <t>Thin Brick 204</t>
  </si>
  <si>
    <t>Ext Vent</t>
  </si>
  <si>
    <t>Louvers At Roof 1/A8.01</t>
  </si>
  <si>
    <t>Metal Panel</t>
  </si>
  <si>
    <t>A8.00 GSM At Roof</t>
  </si>
  <si>
    <t>Foam Trim Panel</t>
  </si>
  <si>
    <t>12/A8.02 Fibercement soffit C.N.L.</t>
  </si>
  <si>
    <t>Foam Trim LF</t>
  </si>
  <si>
    <t>Galv Flashing at roof 3/A8.03</t>
  </si>
  <si>
    <t>Stucco Wainscot</t>
  </si>
  <si>
    <t>Intumescent coating/Prime at soffit vents 3/A8.12</t>
  </si>
  <si>
    <t>Smooth Stucco</t>
  </si>
  <si>
    <t>Alum Stucco Reveal 3/A8.13</t>
  </si>
  <si>
    <t>Corbel At Eve</t>
  </si>
  <si>
    <t>Paint/Anti Graffitti @ Conc. A2/A10.00</t>
  </si>
  <si>
    <t>Windows</t>
  </si>
  <si>
    <t>Downspouts</t>
  </si>
  <si>
    <t>Roof Rail</t>
  </si>
  <si>
    <t>1st floor conc patio paints A10.60</t>
  </si>
  <si>
    <t>Stucco Wall at Roof SF</t>
  </si>
  <si>
    <t>Railings Galvanized C/A8.41</t>
  </si>
  <si>
    <t>Attic Vents</t>
  </si>
  <si>
    <t>Roof Ladder A8.04</t>
  </si>
  <si>
    <t>Gutter</t>
  </si>
  <si>
    <t>Note 202/A7.00 Smooth Stucco at Foam Eve 1/A8.01</t>
  </si>
  <si>
    <t>Eve LF</t>
  </si>
  <si>
    <t>Note 241/A7.02 Parapet Cap Paints</t>
  </si>
  <si>
    <t>Balc Rail LF</t>
  </si>
  <si>
    <t>Metal Panel 235 2&amp;6/A8.50</t>
  </si>
  <si>
    <t>Balc Rail Count</t>
  </si>
  <si>
    <t>Awning 233</t>
  </si>
  <si>
    <t>Ext Doors</t>
  </si>
  <si>
    <t>Precast Trim 216/a3.30</t>
  </si>
  <si>
    <t>Palladian Gate A10.20</t>
  </si>
  <si>
    <t>Stucco Paints 201/A3.30</t>
  </si>
  <si>
    <t>Trellis A8.52</t>
  </si>
  <si>
    <t>Gutter at all eve paints 244/A3.30</t>
  </si>
  <si>
    <t>95 LF</t>
  </si>
  <si>
    <t>Canopy @ Storefront A8.51</t>
  </si>
  <si>
    <t>Corbel every 3 ft</t>
  </si>
  <si>
    <t>4400 SF</t>
  </si>
  <si>
    <t>Back Of Parapet A8.05</t>
  </si>
  <si>
    <t>150/A1.01 Down Spouts Paint 3/A8.15 Galv.</t>
  </si>
  <si>
    <t>Exterior Notes</t>
  </si>
  <si>
    <t>Exterior</t>
  </si>
  <si>
    <t>Intmescent Painting A9.20</t>
  </si>
  <si>
    <t>V/A10.02 Painting Sprinkler Head Caps</t>
  </si>
  <si>
    <t>Cor Railing</t>
  </si>
  <si>
    <t>Storage Sf</t>
  </si>
  <si>
    <t>Cor Bumpouts</t>
  </si>
  <si>
    <t>Stucco Wall SF</t>
  </si>
  <si>
    <t>two tone A10.60</t>
  </si>
  <si>
    <t>Stucco Lid SF</t>
  </si>
  <si>
    <t>Entry Door Accented 15/AD10.32</t>
  </si>
  <si>
    <t>Drywall Wall SF</t>
  </si>
  <si>
    <t>Entry Accents 3/A10.32</t>
  </si>
  <si>
    <t>Drywall Lid SF</t>
  </si>
  <si>
    <t>A6.12A doesn’t show stucco lid but ext cond.</t>
  </si>
  <si>
    <t>Corridor Notes</t>
  </si>
  <si>
    <t>Corridors</t>
  </si>
  <si>
    <t>A10.60</t>
  </si>
  <si>
    <t>Finish Schedule</t>
  </si>
  <si>
    <t>Ave. Unit SF</t>
  </si>
  <si>
    <t>Total Unit SF</t>
  </si>
  <si>
    <t>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</si>
</sst>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1"/>
    <xf numFmtId="0" fontId="2" fillId="0" borderId="0" xfId="1" applyFont="1"/>
    <xf numFmtId="0" fontId="1" fillId="0" borderId="1" xfId="1" applyBorder="1"/>
    <xf numFmtId="0" fontId="1" fillId="0" borderId="2" xfId="1" applyBorder="1"/>
    <xf numFmtId="0" fontId="3" fillId="0" borderId="1" xfId="1" applyFont="1" applyBorder="1"/>
    <xf numFmtId="0" fontId="2" fillId="0" borderId="0" xfId="1" applyFont="1" applyAlignment="1">
      <alignment horizontal="center"/>
    </xf>
    <xf numFmtId="0" fontId="2" fillId="0" borderId="0" xfId="1" applyFont="1" applyAlignment="1">
      <alignment vertical="center"/>
    </xf>
    <xf numFmtId="0" fontId="1" fillId="0" borderId="0" xfId="1" applyAlignment="1">
      <alignment horizontal="left"/>
    </xf>
    <xf numFmtId="0" fontId="4" fillId="0" borderId="1" xfId="1" applyFont="1" applyBorder="1"/>
    <xf numFmtId="0" fontId="5" fillId="0" borderId="1" xfId="1" applyFont="1" applyBorder="1"/>
    <xf numFmtId="0" fontId="3" fillId="0" borderId="1" xfId="1" applyFont="1" applyBorder="1" applyAlignment="1">
      <alignment horizontal="center"/>
    </xf>
    <xf numFmtId="0" fontId="1" fillId="0" borderId="1" xfId="1" applyBorder="1" applyAlignment="1">
      <alignment vertical="center"/>
    </xf>
    <xf numFmtId="0" fontId="1" fillId="0" borderId="0" xfId="1" applyAlignment="1">
      <alignment horizontal="center"/>
    </xf>
    <xf numFmtId="0" fontId="1" fillId="0" borderId="1" xfId="1" applyBorder="1" applyAlignment="1">
      <alignment horizontal="center"/>
    </xf>
    <xf numFmtId="4" fontId="1" fillId="0" borderId="0" xfId="1" applyNumberFormat="1"/>
    <xf numFmtId="4" fontId="1" fillId="0" borderId="1" xfId="1" applyNumberFormat="1" applyBorder="1"/>
    <xf numFmtId="1" fontId="1" fillId="0" borderId="1" xfId="1" applyNumberFormat="1" applyBorder="1"/>
  </cellXfs>
  <cellStyles count="3">
    <cellStyle name="Comma 2" xfId="2" xr:uid="{82696E6B-9E69-4647-80F1-DF3D99AB6819}"/>
    <cellStyle name="Normal" xfId="0" builtinId="0"/>
    <cellStyle name="Normal 2" xfId="1" xr:uid="{3B261EFC-8767-4E4F-A1CE-BE13D9F253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5CCA8-1503-5742-BEB0-2642CA13F18D}">
  <dimension ref="A1:G118"/>
  <sheetViews>
    <sheetView tabSelected="1" view="pageLayout" zoomScaleNormal="100" workbookViewId="0">
      <selection activeCell="C3" sqref="C3"/>
    </sheetView>
  </sheetViews>
  <sheetFormatPr baseColWidth="10" defaultColWidth="8.83203125" defaultRowHeight="15" x14ac:dyDescent="0.2"/>
  <cols>
    <col min="1" max="1" width="3.6640625" style="2" customWidth="1"/>
    <col min="2" max="2" width="23.5" style="1" bestFit="1" customWidth="1"/>
    <col min="3" max="3" width="21.5" style="1" customWidth="1"/>
    <col min="4" max="4" width="4" style="1" customWidth="1"/>
    <col min="5" max="5" width="45" style="1" customWidth="1"/>
    <col min="6" max="9" width="4" style="1" customWidth="1"/>
    <col min="10" max="10" width="2" style="1" bestFit="1" customWidth="1"/>
    <col min="11" max="12" width="2.83203125" style="1" bestFit="1" customWidth="1"/>
    <col min="13" max="14" width="4" style="1" bestFit="1" customWidth="1"/>
    <col min="15" max="15" width="2" style="1" bestFit="1" customWidth="1"/>
    <col min="16" max="16" width="2.83203125" style="1" bestFit="1" customWidth="1"/>
    <col min="17" max="18" width="2" style="1" bestFit="1" customWidth="1"/>
    <col min="19" max="19" width="2.83203125" style="1" bestFit="1" customWidth="1"/>
    <col min="20" max="20" width="4" style="1" bestFit="1" customWidth="1"/>
    <col min="21" max="21" width="2" style="1" bestFit="1" customWidth="1"/>
    <col min="22" max="24" width="2.83203125" style="1" bestFit="1" customWidth="1"/>
    <col min="25" max="25" width="4" style="1" bestFit="1" customWidth="1"/>
    <col min="26" max="26" width="2" style="1" bestFit="1" customWidth="1"/>
    <col min="27" max="27" width="4" style="1" bestFit="1" customWidth="1"/>
    <col min="28" max="28" width="2" style="1" bestFit="1" customWidth="1"/>
    <col min="29" max="16384" width="8.83203125" style="1"/>
  </cols>
  <sheetData>
    <row r="1" spans="1:5" x14ac:dyDescent="0.2">
      <c r="A1" s="7" t="s">
        <v>143</v>
      </c>
    </row>
    <row r="2" spans="1:5" x14ac:dyDescent="0.2">
      <c r="A2" s="7"/>
      <c r="B2" s="3" t="s">
        <v>76</v>
      </c>
      <c r="C2" s="3">
        <v>291</v>
      </c>
    </row>
    <row r="3" spans="1:5" x14ac:dyDescent="0.2">
      <c r="A3" s="7"/>
      <c r="B3" s="3" t="s">
        <v>142</v>
      </c>
      <c r="C3" s="3">
        <v>274334</v>
      </c>
    </row>
    <row r="4" spans="1:5" x14ac:dyDescent="0.2">
      <c r="A4" s="7"/>
      <c r="B4" s="3" t="s">
        <v>141</v>
      </c>
      <c r="C4" s="17">
        <f>C3/C2</f>
        <v>942.72852233676974</v>
      </c>
    </row>
    <row r="5" spans="1:5" x14ac:dyDescent="0.2">
      <c r="A5" s="7"/>
      <c r="B5" s="1" t="s">
        <v>140</v>
      </c>
      <c r="C5" s="1" t="s">
        <v>139</v>
      </c>
    </row>
    <row r="6" spans="1:5" x14ac:dyDescent="0.2">
      <c r="A6" s="7" t="s">
        <v>138</v>
      </c>
      <c r="E6" s="6" t="s">
        <v>137</v>
      </c>
    </row>
    <row r="7" spans="1:5" x14ac:dyDescent="0.2">
      <c r="A7" s="7"/>
      <c r="B7" s="3" t="s">
        <v>74</v>
      </c>
      <c r="C7" s="3"/>
      <c r="E7" s="3" t="s">
        <v>136</v>
      </c>
    </row>
    <row r="8" spans="1:5" x14ac:dyDescent="0.2">
      <c r="A8" s="7"/>
      <c r="B8" s="3" t="s">
        <v>135</v>
      </c>
      <c r="C8" s="3">
        <v>49830</v>
      </c>
      <c r="E8" s="3" t="s">
        <v>134</v>
      </c>
    </row>
    <row r="9" spans="1:5" x14ac:dyDescent="0.2">
      <c r="A9" s="7"/>
      <c r="B9" s="3" t="s">
        <v>133</v>
      </c>
      <c r="C9" s="3">
        <v>16406</v>
      </c>
      <c r="E9" s="3" t="s">
        <v>132</v>
      </c>
    </row>
    <row r="10" spans="1:5" x14ac:dyDescent="0.2">
      <c r="A10" s="7"/>
      <c r="B10" s="3" t="s">
        <v>131</v>
      </c>
      <c r="C10" s="3">
        <v>9757</v>
      </c>
      <c r="E10" s="3" t="s">
        <v>130</v>
      </c>
    </row>
    <row r="11" spans="1:5" x14ac:dyDescent="0.2">
      <c r="A11" s="7"/>
      <c r="B11" s="3" t="s">
        <v>129</v>
      </c>
      <c r="C11" s="3">
        <v>27417</v>
      </c>
      <c r="E11" s="3"/>
    </row>
    <row r="12" spans="1:5" x14ac:dyDescent="0.2">
      <c r="A12" s="7"/>
      <c r="B12" s="3" t="s">
        <v>21</v>
      </c>
      <c r="C12" s="3">
        <v>391</v>
      </c>
      <c r="E12" s="3"/>
    </row>
    <row r="13" spans="1:5" x14ac:dyDescent="0.2">
      <c r="A13" s="7"/>
      <c r="B13" s="3" t="s">
        <v>128</v>
      </c>
      <c r="C13" s="16">
        <v>404</v>
      </c>
      <c r="E13" s="3"/>
    </row>
    <row r="14" spans="1:5" x14ac:dyDescent="0.2">
      <c r="A14" s="7"/>
      <c r="B14" s="3" t="s">
        <v>10</v>
      </c>
      <c r="C14" s="16">
        <v>122</v>
      </c>
      <c r="E14" s="3"/>
    </row>
    <row r="15" spans="1:5" x14ac:dyDescent="0.2">
      <c r="A15" s="7"/>
      <c r="B15" s="3" t="s">
        <v>127</v>
      </c>
      <c r="C15" s="16">
        <v>17642</v>
      </c>
      <c r="E15" s="3"/>
    </row>
    <row r="16" spans="1:5" x14ac:dyDescent="0.2">
      <c r="A16" s="7"/>
      <c r="B16" s="3" t="s">
        <v>126</v>
      </c>
      <c r="C16" s="16">
        <v>342</v>
      </c>
      <c r="E16" s="3"/>
    </row>
    <row r="17" spans="1:5" x14ac:dyDescent="0.2">
      <c r="A17" s="7"/>
      <c r="B17" s="3"/>
      <c r="C17" s="3"/>
      <c r="E17" s="3"/>
    </row>
    <row r="18" spans="1:5" x14ac:dyDescent="0.2">
      <c r="A18" s="7"/>
      <c r="B18" s="3"/>
      <c r="C18" s="3"/>
      <c r="E18" s="14"/>
    </row>
    <row r="19" spans="1:5" x14ac:dyDescent="0.2">
      <c r="A19" s="7"/>
      <c r="B19" s="3"/>
      <c r="C19" s="3"/>
      <c r="E19" s="14"/>
    </row>
    <row r="20" spans="1:5" x14ac:dyDescent="0.2">
      <c r="A20" s="7"/>
      <c r="B20" s="3"/>
      <c r="C20" s="3"/>
      <c r="E20" s="11" t="s">
        <v>125</v>
      </c>
    </row>
    <row r="21" spans="1:5" x14ac:dyDescent="0.2">
      <c r="A21" s="7"/>
      <c r="B21" s="3"/>
      <c r="C21" s="3"/>
      <c r="E21" s="11" t="s">
        <v>124</v>
      </c>
    </row>
    <row r="22" spans="1:5" x14ac:dyDescent="0.2">
      <c r="A22" s="7"/>
    </row>
    <row r="23" spans="1:5" x14ac:dyDescent="0.2">
      <c r="A23" s="7" t="s">
        <v>123</v>
      </c>
      <c r="E23" s="6" t="s">
        <v>122</v>
      </c>
    </row>
    <row r="24" spans="1:5" x14ac:dyDescent="0.2">
      <c r="A24" s="7"/>
      <c r="B24" s="4" t="s">
        <v>74</v>
      </c>
      <c r="C24" s="3"/>
      <c r="E24" s="3" t="s">
        <v>121</v>
      </c>
    </row>
    <row r="25" spans="1:5" x14ac:dyDescent="0.2">
      <c r="A25" s="7"/>
      <c r="B25" s="4" t="s">
        <v>120</v>
      </c>
      <c r="C25" s="3" t="s">
        <v>119</v>
      </c>
      <c r="E25" s="3" t="s">
        <v>118</v>
      </c>
    </row>
    <row r="26" spans="1:5" x14ac:dyDescent="0.2">
      <c r="A26" s="7"/>
      <c r="B26" s="4" t="s">
        <v>117</v>
      </c>
      <c r="C26" s="3" t="s">
        <v>116</v>
      </c>
      <c r="E26" s="3" t="s">
        <v>115</v>
      </c>
    </row>
    <row r="27" spans="1:5" x14ac:dyDescent="0.2">
      <c r="A27" s="7"/>
      <c r="B27" s="4" t="s">
        <v>114</v>
      </c>
      <c r="C27" s="3">
        <v>2</v>
      </c>
      <c r="E27" s="3" t="s">
        <v>113</v>
      </c>
    </row>
    <row r="28" spans="1:5" x14ac:dyDescent="0.2">
      <c r="A28" s="7"/>
      <c r="B28" s="4" t="s">
        <v>112</v>
      </c>
      <c r="C28" s="3">
        <v>3</v>
      </c>
      <c r="E28" s="3" t="s">
        <v>111</v>
      </c>
    </row>
    <row r="29" spans="1:5" x14ac:dyDescent="0.2">
      <c r="A29" s="7"/>
      <c r="B29" s="1" t="s">
        <v>110</v>
      </c>
      <c r="C29" s="15">
        <v>33</v>
      </c>
      <c r="E29" s="3" t="s">
        <v>109</v>
      </c>
    </row>
    <row r="30" spans="1:5" x14ac:dyDescent="0.2">
      <c r="B30" s="4" t="s">
        <v>108</v>
      </c>
      <c r="C30" s="3">
        <v>118</v>
      </c>
      <c r="E30" s="3" t="s">
        <v>107</v>
      </c>
    </row>
    <row r="31" spans="1:5" x14ac:dyDescent="0.2">
      <c r="B31" s="4" t="s">
        <v>106</v>
      </c>
      <c r="C31" s="3">
        <v>867</v>
      </c>
      <c r="E31" s="3" t="s">
        <v>105</v>
      </c>
    </row>
    <row r="32" spans="1:5" x14ac:dyDescent="0.2">
      <c r="B32" s="4" t="s">
        <v>104</v>
      </c>
      <c r="C32" s="3">
        <v>3875</v>
      </c>
      <c r="E32" s="3" t="s">
        <v>103</v>
      </c>
    </row>
    <row r="33" spans="1:5" x14ac:dyDescent="0.2">
      <c r="B33" s="4" t="s">
        <v>102</v>
      </c>
      <c r="C33" s="3">
        <v>3875</v>
      </c>
      <c r="E33" s="3" t="s">
        <v>101</v>
      </c>
    </row>
    <row r="34" spans="1:5" x14ac:dyDescent="0.2">
      <c r="B34" s="4" t="s">
        <v>100</v>
      </c>
      <c r="C34" s="3">
        <v>170</v>
      </c>
      <c r="E34" s="3" t="s">
        <v>99</v>
      </c>
    </row>
    <row r="35" spans="1:5" x14ac:dyDescent="0.2">
      <c r="B35" s="4" t="s">
        <v>98</v>
      </c>
      <c r="C35" s="3">
        <v>31350</v>
      </c>
      <c r="E35" s="14" t="s">
        <v>97</v>
      </c>
    </row>
    <row r="36" spans="1:5" x14ac:dyDescent="0.2">
      <c r="B36" s="4" t="s">
        <v>16</v>
      </c>
      <c r="C36" s="3">
        <v>1037</v>
      </c>
      <c r="E36" s="14"/>
    </row>
    <row r="37" spans="1:5" x14ac:dyDescent="0.2">
      <c r="B37" s="4" t="s">
        <v>96</v>
      </c>
      <c r="C37" s="3">
        <v>163.33000000000001</v>
      </c>
      <c r="E37" s="14"/>
    </row>
    <row r="38" spans="1:5" x14ac:dyDescent="0.2">
      <c r="B38" s="4" t="s">
        <v>95</v>
      </c>
      <c r="C38" s="3">
        <v>52</v>
      </c>
      <c r="E38" s="14"/>
    </row>
    <row r="39" spans="1:5" x14ac:dyDescent="0.2">
      <c r="B39" s="4" t="s">
        <v>94</v>
      </c>
      <c r="C39" s="3">
        <v>951</v>
      </c>
      <c r="E39" s="5" t="s">
        <v>93</v>
      </c>
    </row>
    <row r="40" spans="1:5" x14ac:dyDescent="0.2">
      <c r="B40" s="4" t="s">
        <v>92</v>
      </c>
      <c r="C40" s="3">
        <v>1207.9000000000001</v>
      </c>
      <c r="E40" s="5" t="s">
        <v>91</v>
      </c>
    </row>
    <row r="41" spans="1:5" x14ac:dyDescent="0.2">
      <c r="B41" s="4" t="s">
        <v>90</v>
      </c>
      <c r="C41" s="3">
        <v>6511.09</v>
      </c>
      <c r="E41" s="5" t="s">
        <v>89</v>
      </c>
    </row>
    <row r="42" spans="1:5" x14ac:dyDescent="0.2">
      <c r="B42" s="4" t="s">
        <v>88</v>
      </c>
      <c r="C42" s="3">
        <v>703.34</v>
      </c>
      <c r="E42" s="5" t="s">
        <v>87</v>
      </c>
    </row>
    <row r="43" spans="1:5" x14ac:dyDescent="0.2">
      <c r="B43" s="4" t="s">
        <v>86</v>
      </c>
      <c r="C43" s="3">
        <v>3213.68</v>
      </c>
      <c r="E43" s="5" t="s">
        <v>85</v>
      </c>
    </row>
    <row r="44" spans="1:5" x14ac:dyDescent="0.2">
      <c r="B44" s="4" t="s">
        <v>84</v>
      </c>
      <c r="C44" s="3">
        <v>90</v>
      </c>
      <c r="E44" s="5" t="s">
        <v>83</v>
      </c>
    </row>
    <row r="45" spans="1:5" x14ac:dyDescent="0.2">
      <c r="B45" s="4" t="s">
        <v>82</v>
      </c>
      <c r="C45" s="3">
        <v>66</v>
      </c>
      <c r="E45" s="5" t="s">
        <v>81</v>
      </c>
    </row>
    <row r="46" spans="1:5" x14ac:dyDescent="0.2">
      <c r="A46" s="7"/>
      <c r="B46" s="4" t="s">
        <v>80</v>
      </c>
      <c r="C46" s="3">
        <v>27</v>
      </c>
      <c r="E46" s="5" t="s">
        <v>79</v>
      </c>
    </row>
    <row r="47" spans="1:5" x14ac:dyDescent="0.2">
      <c r="A47" s="7"/>
      <c r="B47" s="4"/>
      <c r="C47" s="3"/>
      <c r="E47" s="5" t="s">
        <v>78</v>
      </c>
    </row>
    <row r="48" spans="1:5" x14ac:dyDescent="0.2">
      <c r="A48" s="7"/>
      <c r="B48" s="4"/>
      <c r="C48" s="3"/>
      <c r="E48" s="5" t="s">
        <v>77</v>
      </c>
    </row>
    <row r="49" spans="1:5" x14ac:dyDescent="0.2">
      <c r="A49" s="7"/>
      <c r="C49" s="13"/>
    </row>
    <row r="50" spans="1:5" x14ac:dyDescent="0.2">
      <c r="A50" s="7" t="s">
        <v>76</v>
      </c>
      <c r="C50" s="13"/>
      <c r="E50" s="6" t="s">
        <v>75</v>
      </c>
    </row>
    <row r="51" spans="1:5" x14ac:dyDescent="0.2">
      <c r="A51" s="7"/>
      <c r="B51" s="3" t="s">
        <v>74</v>
      </c>
      <c r="C51" s="3" t="s">
        <v>73</v>
      </c>
      <c r="E51" s="3" t="s">
        <v>72</v>
      </c>
    </row>
    <row r="52" spans="1:5" x14ac:dyDescent="0.2">
      <c r="A52" s="7"/>
      <c r="B52" s="3" t="s">
        <v>71</v>
      </c>
      <c r="C52" s="3">
        <v>1445</v>
      </c>
      <c r="E52" s="3" t="s">
        <v>70</v>
      </c>
    </row>
    <row r="53" spans="1:5" x14ac:dyDescent="0.2">
      <c r="A53" s="7"/>
      <c r="B53" s="3" t="s">
        <v>69</v>
      </c>
      <c r="C53" s="3">
        <v>315</v>
      </c>
      <c r="E53" s="3"/>
    </row>
    <row r="54" spans="1:5" x14ac:dyDescent="0.2">
      <c r="A54" s="7"/>
      <c r="B54" s="12" t="s">
        <v>68</v>
      </c>
      <c r="C54" s="3">
        <v>150</v>
      </c>
      <c r="E54" s="3"/>
    </row>
    <row r="55" spans="1:5" x14ac:dyDescent="0.2">
      <c r="A55" s="7"/>
      <c r="B55" s="12" t="s">
        <v>67</v>
      </c>
      <c r="C55" s="3">
        <v>78</v>
      </c>
      <c r="E55" s="11" t="s">
        <v>66</v>
      </c>
    </row>
    <row r="56" spans="1:5" x14ac:dyDescent="0.2">
      <c r="A56" s="7"/>
      <c r="B56" s="3" t="s">
        <v>65</v>
      </c>
      <c r="C56" s="3">
        <v>291</v>
      </c>
      <c r="E56" s="10" t="s">
        <v>64</v>
      </c>
    </row>
    <row r="57" spans="1:5" x14ac:dyDescent="0.2">
      <c r="A57" s="7"/>
      <c r="B57" s="3" t="s">
        <v>63</v>
      </c>
      <c r="C57" s="3">
        <v>0</v>
      </c>
      <c r="E57" s="5" t="s">
        <v>62</v>
      </c>
    </row>
    <row r="58" spans="1:5" x14ac:dyDescent="0.2">
      <c r="A58" s="7"/>
      <c r="B58" s="3" t="s">
        <v>61</v>
      </c>
      <c r="C58" s="3">
        <v>75</v>
      </c>
      <c r="E58" s="5" t="s">
        <v>60</v>
      </c>
    </row>
    <row r="59" spans="1:5" x14ac:dyDescent="0.2">
      <c r="A59" s="7"/>
      <c r="B59" s="3" t="s">
        <v>50</v>
      </c>
      <c r="C59" s="3">
        <v>10</v>
      </c>
      <c r="E59" s="5" t="s">
        <v>59</v>
      </c>
    </row>
    <row r="60" spans="1:5" x14ac:dyDescent="0.2">
      <c r="A60" s="7"/>
      <c r="B60" s="9" t="s">
        <v>58</v>
      </c>
      <c r="C60" s="3">
        <v>273</v>
      </c>
      <c r="E60" s="5" t="s">
        <v>57</v>
      </c>
    </row>
    <row r="61" spans="1:5" x14ac:dyDescent="0.2">
      <c r="A61" s="7"/>
      <c r="B61" s="3" t="s">
        <v>56</v>
      </c>
      <c r="C61" s="3" t="s">
        <v>55</v>
      </c>
      <c r="E61" s="5" t="s">
        <v>54</v>
      </c>
    </row>
    <row r="62" spans="1:5" x14ac:dyDescent="0.2">
      <c r="A62" s="7"/>
      <c r="B62" s="3" t="s">
        <v>53</v>
      </c>
      <c r="C62" s="3" t="s">
        <v>52</v>
      </c>
      <c r="E62" s="5" t="s">
        <v>51</v>
      </c>
    </row>
    <row r="63" spans="1:5" x14ac:dyDescent="0.2">
      <c r="A63" s="7"/>
      <c r="B63" s="8"/>
      <c r="C63" s="8"/>
      <c r="D63" s="8"/>
      <c r="E63" s="8"/>
    </row>
    <row r="64" spans="1:5" x14ac:dyDescent="0.2">
      <c r="A64" s="7" t="s">
        <v>50</v>
      </c>
      <c r="E64" s="6" t="s">
        <v>49</v>
      </c>
    </row>
    <row r="65" spans="1:7" x14ac:dyDescent="0.2">
      <c r="A65" s="7"/>
      <c r="B65" s="4" t="s">
        <v>48</v>
      </c>
      <c r="C65" s="3" t="s">
        <v>47</v>
      </c>
      <c r="E65" s="3"/>
    </row>
    <row r="66" spans="1:7" x14ac:dyDescent="0.2">
      <c r="A66" s="7"/>
      <c r="B66" s="4" t="s">
        <v>46</v>
      </c>
      <c r="C66" s="3" t="s">
        <v>45</v>
      </c>
      <c r="E66" s="3"/>
    </row>
    <row r="67" spans="1:7" x14ac:dyDescent="0.2">
      <c r="A67" s="7"/>
      <c r="B67" s="4" t="s">
        <v>28</v>
      </c>
      <c r="C67" s="3" t="s">
        <v>44</v>
      </c>
      <c r="E67" s="3"/>
    </row>
    <row r="68" spans="1:7" x14ac:dyDescent="0.2">
      <c r="A68" s="7"/>
      <c r="B68" s="4" t="s">
        <v>25</v>
      </c>
      <c r="C68" s="3" t="s">
        <v>44</v>
      </c>
      <c r="E68" s="3"/>
    </row>
    <row r="69" spans="1:7" x14ac:dyDescent="0.2">
      <c r="A69" s="7"/>
      <c r="B69" s="4" t="s">
        <v>43</v>
      </c>
      <c r="C69" s="3" t="s">
        <v>42</v>
      </c>
      <c r="E69" s="3"/>
    </row>
    <row r="70" spans="1:7" x14ac:dyDescent="0.2">
      <c r="A70" s="7"/>
      <c r="B70" s="4" t="s">
        <v>41</v>
      </c>
      <c r="C70" s="3"/>
      <c r="E70" s="3"/>
    </row>
    <row r="71" spans="1:7" x14ac:dyDescent="0.2">
      <c r="A71" s="7"/>
      <c r="B71" s="4" t="s">
        <v>40</v>
      </c>
      <c r="C71" s="3"/>
      <c r="E71" s="3"/>
    </row>
    <row r="72" spans="1:7" x14ac:dyDescent="0.2">
      <c r="A72" s="7"/>
      <c r="B72" s="4" t="s">
        <v>39</v>
      </c>
      <c r="C72" s="3"/>
      <c r="E72" s="3"/>
    </row>
    <row r="73" spans="1:7" x14ac:dyDescent="0.2">
      <c r="A73" s="7"/>
      <c r="B73" s="4" t="s">
        <v>38</v>
      </c>
      <c r="C73" s="3"/>
      <c r="E73" s="3"/>
    </row>
    <row r="74" spans="1:7" x14ac:dyDescent="0.2">
      <c r="A74" s="7"/>
      <c r="B74" s="4"/>
      <c r="C74" s="3"/>
      <c r="E74" s="3"/>
    </row>
    <row r="75" spans="1:7" x14ac:dyDescent="0.2">
      <c r="A75" s="7"/>
      <c r="B75" s="4"/>
      <c r="C75" s="3"/>
      <c r="E75" s="3"/>
    </row>
    <row r="76" spans="1:7" x14ac:dyDescent="0.2">
      <c r="A76" s="7"/>
      <c r="B76" s="4"/>
      <c r="C76" s="3" t="s">
        <v>37</v>
      </c>
      <c r="E76" s="3"/>
    </row>
    <row r="77" spans="1:7" x14ac:dyDescent="0.2">
      <c r="A77" s="7"/>
      <c r="B77" s="4"/>
      <c r="C77" s="3"/>
      <c r="E77" s="3"/>
    </row>
    <row r="78" spans="1:7" x14ac:dyDescent="0.2">
      <c r="A78" s="7"/>
      <c r="B78" s="4"/>
      <c r="C78" s="3"/>
      <c r="E78" s="3"/>
    </row>
    <row r="79" spans="1:7" x14ac:dyDescent="0.2">
      <c r="A79" s="7"/>
      <c r="C79" s="8"/>
      <c r="D79" s="8"/>
      <c r="E79" s="8"/>
      <c r="F79" s="8"/>
      <c r="G79" s="8"/>
    </row>
    <row r="80" spans="1:7" x14ac:dyDescent="0.2">
      <c r="A80" s="7" t="s">
        <v>36</v>
      </c>
      <c r="E80" s="6" t="s">
        <v>35</v>
      </c>
    </row>
    <row r="81" spans="1:5" x14ac:dyDescent="0.2">
      <c r="A81" s="7"/>
      <c r="B81" s="4" t="s">
        <v>34</v>
      </c>
      <c r="C81" s="3">
        <f>SUM(C82:C95)</f>
        <v>8664.58</v>
      </c>
      <c r="E81" s="3"/>
    </row>
    <row r="82" spans="1:5" x14ac:dyDescent="0.2">
      <c r="A82" s="7"/>
      <c r="B82" s="4" t="s">
        <v>33</v>
      </c>
      <c r="C82" s="3">
        <v>2586.2600000000002</v>
      </c>
      <c r="E82" s="3"/>
    </row>
    <row r="83" spans="1:5" x14ac:dyDescent="0.2">
      <c r="A83" s="7"/>
      <c r="B83" s="4" t="s">
        <v>32</v>
      </c>
      <c r="C83" s="3">
        <v>3981.24</v>
      </c>
      <c r="E83" s="3"/>
    </row>
    <row r="84" spans="1:5" x14ac:dyDescent="0.2">
      <c r="A84" s="7"/>
      <c r="B84" s="4" t="s">
        <v>31</v>
      </c>
      <c r="C84" s="3">
        <v>2097.08</v>
      </c>
      <c r="E84" s="3"/>
    </row>
    <row r="85" spans="1:5" x14ac:dyDescent="0.2">
      <c r="A85" s="7"/>
      <c r="B85" s="4"/>
      <c r="C85" s="3"/>
      <c r="E85" s="3"/>
    </row>
    <row r="86" spans="1:5" x14ac:dyDescent="0.2">
      <c r="A86" s="7"/>
      <c r="B86" s="4"/>
      <c r="C86" s="3"/>
      <c r="E86" s="3"/>
    </row>
    <row r="87" spans="1:5" x14ac:dyDescent="0.2">
      <c r="A87" s="7"/>
      <c r="B87" s="4"/>
      <c r="C87" s="3"/>
      <c r="E87" s="3"/>
    </row>
    <row r="88" spans="1:5" x14ac:dyDescent="0.2">
      <c r="A88" s="7"/>
      <c r="B88" s="4"/>
      <c r="C88" s="3"/>
      <c r="E88" s="3"/>
    </row>
    <row r="89" spans="1:5" x14ac:dyDescent="0.2">
      <c r="A89" s="7"/>
      <c r="B89" s="4"/>
      <c r="C89" s="3"/>
      <c r="E89" s="3"/>
    </row>
    <row r="90" spans="1:5" x14ac:dyDescent="0.2">
      <c r="A90" s="7"/>
      <c r="B90" s="4"/>
      <c r="C90" s="3"/>
      <c r="E90" s="3"/>
    </row>
    <row r="91" spans="1:5" x14ac:dyDescent="0.2">
      <c r="A91" s="7"/>
      <c r="B91" s="4"/>
      <c r="C91" s="3"/>
      <c r="E91" s="3"/>
    </row>
    <row r="92" spans="1:5" x14ac:dyDescent="0.2">
      <c r="A92" s="7"/>
      <c r="B92" s="4"/>
      <c r="C92" s="3"/>
      <c r="E92" s="3"/>
    </row>
    <row r="93" spans="1:5" x14ac:dyDescent="0.2">
      <c r="A93" s="7"/>
      <c r="B93" s="4"/>
      <c r="C93" s="3"/>
      <c r="E93" s="3"/>
    </row>
    <row r="94" spans="1:5" x14ac:dyDescent="0.2">
      <c r="A94" s="7"/>
      <c r="B94" s="4"/>
      <c r="C94" s="3"/>
      <c r="E94" s="3"/>
    </row>
    <row r="95" spans="1:5" x14ac:dyDescent="0.2">
      <c r="A95" s="7"/>
      <c r="B95" s="3"/>
      <c r="C95" s="3"/>
      <c r="E95" s="3"/>
    </row>
    <row r="96" spans="1:5" x14ac:dyDescent="0.2">
      <c r="A96" s="7"/>
    </row>
    <row r="97" spans="1:5" x14ac:dyDescent="0.2">
      <c r="A97" s="7"/>
    </row>
    <row r="98" spans="1:5" x14ac:dyDescent="0.2">
      <c r="A98" s="7"/>
    </row>
    <row r="99" spans="1:5" x14ac:dyDescent="0.2">
      <c r="A99" s="2" t="s">
        <v>30</v>
      </c>
      <c r="E99" s="6" t="s">
        <v>29</v>
      </c>
    </row>
    <row r="100" spans="1:5" x14ac:dyDescent="0.2">
      <c r="B100" s="4" t="s">
        <v>28</v>
      </c>
      <c r="C100" s="3" t="s">
        <v>27</v>
      </c>
      <c r="E100" s="3" t="s">
        <v>26</v>
      </c>
    </row>
    <row r="101" spans="1:5" x14ac:dyDescent="0.2">
      <c r="B101" s="4" t="s">
        <v>25</v>
      </c>
      <c r="C101" s="3" t="s">
        <v>24</v>
      </c>
      <c r="E101" s="3"/>
    </row>
    <row r="102" spans="1:5" x14ac:dyDescent="0.2">
      <c r="B102" s="4" t="s">
        <v>23</v>
      </c>
      <c r="C102" s="3"/>
      <c r="E102" s="3"/>
    </row>
    <row r="103" spans="1:5" x14ac:dyDescent="0.2">
      <c r="B103" s="4" t="s">
        <v>22</v>
      </c>
      <c r="C103" s="3">
        <v>12</v>
      </c>
      <c r="E103" s="3"/>
    </row>
    <row r="104" spans="1:5" x14ac:dyDescent="0.2">
      <c r="B104" s="4" t="s">
        <v>21</v>
      </c>
      <c r="C104" s="3">
        <v>108</v>
      </c>
      <c r="E104" s="3"/>
    </row>
    <row r="105" spans="1:5" x14ac:dyDescent="0.2">
      <c r="B105" s="4" t="s">
        <v>20</v>
      </c>
      <c r="C105" s="3">
        <v>13</v>
      </c>
      <c r="E105" s="3"/>
    </row>
    <row r="106" spans="1:5" x14ac:dyDescent="0.2">
      <c r="B106" s="4" t="s">
        <v>19</v>
      </c>
      <c r="C106" s="3">
        <v>2</v>
      </c>
      <c r="E106" s="3"/>
    </row>
    <row r="107" spans="1:5" x14ac:dyDescent="0.2">
      <c r="B107" s="4" t="s">
        <v>18</v>
      </c>
      <c r="C107" s="3">
        <v>13</v>
      </c>
      <c r="E107" s="3"/>
    </row>
    <row r="108" spans="1:5" x14ac:dyDescent="0.2">
      <c r="B108" s="4" t="s">
        <v>17</v>
      </c>
      <c r="C108" s="3">
        <v>1222</v>
      </c>
      <c r="E108" s="3"/>
    </row>
    <row r="109" spans="1:5" x14ac:dyDescent="0.2">
      <c r="B109" s="4" t="s">
        <v>16</v>
      </c>
      <c r="C109" s="3">
        <v>1350</v>
      </c>
      <c r="E109" s="3"/>
    </row>
    <row r="110" spans="1:5" x14ac:dyDescent="0.2">
      <c r="B110" s="4" t="s">
        <v>15</v>
      </c>
      <c r="C110" s="3">
        <v>2</v>
      </c>
      <c r="E110" s="3"/>
    </row>
    <row r="111" spans="1:5" x14ac:dyDescent="0.2">
      <c r="B111" s="4" t="s">
        <v>14</v>
      </c>
      <c r="C111" s="3">
        <v>10</v>
      </c>
      <c r="E111" s="5" t="s">
        <v>13</v>
      </c>
    </row>
    <row r="112" spans="1:5" x14ac:dyDescent="0.2">
      <c r="B112" s="4" t="s">
        <v>12</v>
      </c>
      <c r="C112" s="3">
        <v>1537</v>
      </c>
      <c r="E112" s="5" t="s">
        <v>11</v>
      </c>
    </row>
    <row r="113" spans="2:5" x14ac:dyDescent="0.2">
      <c r="B113" s="4" t="s">
        <v>10</v>
      </c>
      <c r="C113" s="3">
        <v>38</v>
      </c>
      <c r="E113" s="5" t="s">
        <v>9</v>
      </c>
    </row>
    <row r="114" spans="2:5" x14ac:dyDescent="0.2">
      <c r="B114" s="4" t="s">
        <v>8</v>
      </c>
      <c r="C114" s="3">
        <v>6410</v>
      </c>
      <c r="E114" s="5" t="s">
        <v>7</v>
      </c>
    </row>
    <row r="115" spans="2:5" x14ac:dyDescent="0.2">
      <c r="B115" s="4" t="s">
        <v>6</v>
      </c>
      <c r="C115" s="3">
        <v>82500</v>
      </c>
      <c r="E115" s="5" t="s">
        <v>5</v>
      </c>
    </row>
    <row r="116" spans="2:5" x14ac:dyDescent="0.2">
      <c r="B116" s="4" t="s">
        <v>4</v>
      </c>
      <c r="C116" s="3">
        <v>157000</v>
      </c>
      <c r="E116" s="5" t="s">
        <v>3</v>
      </c>
    </row>
    <row r="117" spans="2:5" x14ac:dyDescent="0.2">
      <c r="B117" s="4" t="s">
        <v>2</v>
      </c>
      <c r="C117" s="3">
        <v>4460</v>
      </c>
      <c r="E117" s="5" t="s">
        <v>1</v>
      </c>
    </row>
    <row r="118" spans="2:5" x14ac:dyDescent="0.2">
      <c r="B118" s="4" t="s">
        <v>0</v>
      </c>
      <c r="C118" s="3">
        <v>211</v>
      </c>
      <c r="E118" s="3"/>
    </row>
  </sheetData>
  <pageMargins left="0.30208333333333331" right="0.33333333333333331" top="0.75" bottom="0.30208333333333331" header="0.3" footer="0.3"/>
  <pageSetup orientation="portrait" r:id="rId1"/>
  <headerFooter>
    <oddHeader>&amp;CWestern National:
Discovery Bldg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 Bldg (input2)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hill</dc:creator>
  <cp:lastModifiedBy>jordan hill</cp:lastModifiedBy>
  <dcterms:created xsi:type="dcterms:W3CDTF">2026-02-03T01:54:32Z</dcterms:created>
  <dcterms:modified xsi:type="dcterms:W3CDTF">2026-02-03T02:06:30Z</dcterms:modified>
</cp:coreProperties>
</file>